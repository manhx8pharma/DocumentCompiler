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CB64DB6-DB1F-4AB3-8C9A-2061C64749E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emplate Data" sheetId="1" r:id="rId1"/>
    <sheet name="Sheet1" sheetId="2" r:id="rId2"/>
  </sheets>
  <definedNames>
    <definedName name="_xlnm._FilterDatabase" localSheetId="1" hidden="1">Sheet1!$A$1:$D$48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3" i="1" l="1"/>
  <c r="BG4" i="1"/>
  <c r="BG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N3" i="1"/>
  <c r="AN4" i="1"/>
  <c r="AT3" i="1"/>
  <c r="AU3" i="1"/>
  <c r="AV3" i="1"/>
  <c r="AW3" i="1"/>
  <c r="AX3" i="1"/>
  <c r="AY3" i="1"/>
  <c r="AZ3" i="1"/>
  <c r="BA3" i="1"/>
  <c r="BB3" i="1"/>
  <c r="BC3" i="1"/>
  <c r="BD3" i="1"/>
  <c r="BE3" i="1"/>
  <c r="AT4" i="1"/>
  <c r="AU4" i="1"/>
  <c r="AV4" i="1"/>
  <c r="AW4" i="1"/>
  <c r="AX4" i="1"/>
  <c r="AY4" i="1"/>
  <c r="AZ4" i="1"/>
  <c r="BA4" i="1"/>
  <c r="BB4" i="1"/>
  <c r="BC4" i="1"/>
  <c r="BD4" i="1"/>
  <c r="BE4" i="1"/>
  <c r="BE2" i="1"/>
  <c r="BD2" i="1"/>
  <c r="BC2" i="1"/>
  <c r="BB2" i="1"/>
  <c r="BA2" i="1"/>
  <c r="AZ2" i="1"/>
  <c r="AY2" i="1"/>
  <c r="AX2" i="1"/>
  <c r="AW2" i="1"/>
  <c r="AV2" i="1"/>
  <c r="AU2" i="1"/>
  <c r="AT2" i="1"/>
  <c r="AN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C2" i="1"/>
  <c r="B2" i="1"/>
</calcChain>
</file>

<file path=xl/sharedStrings.xml><?xml version="1.0" encoding="utf-8"?>
<sst xmlns="http://schemas.openxmlformats.org/spreadsheetml/2006/main" count="181" uniqueCount="123">
  <si>
    <t>DOCUMENT_NAME</t>
  </si>
  <si>
    <t>f_22</t>
  </si>
  <si>
    <t>f_23</t>
  </si>
  <si>
    <t>f_24</t>
  </si>
  <si>
    <t>f_25</t>
  </si>
  <si>
    <t>f_26</t>
  </si>
  <si>
    <t>f_28</t>
  </si>
  <si>
    <t>f_29</t>
  </si>
  <si>
    <t>f_30</t>
  </si>
  <si>
    <t>f_31</t>
  </si>
  <si>
    <t>f_32</t>
  </si>
  <si>
    <t>f_33</t>
  </si>
  <si>
    <t>f_34</t>
  </si>
  <si>
    <t>f_35</t>
  </si>
  <si>
    <t>f_36</t>
  </si>
  <si>
    <t>f_37</t>
  </si>
  <si>
    <t>f_38</t>
  </si>
  <si>
    <t>f_39</t>
  </si>
  <si>
    <t>f_40</t>
  </si>
  <si>
    <t>f_49</t>
  </si>
  <si>
    <t>f_50</t>
  </si>
  <si>
    <t>f_51</t>
  </si>
  <si>
    <t>f_1</t>
  </si>
  <si>
    <t>f_56</t>
  </si>
  <si>
    <t>f_58</t>
  </si>
  <si>
    <t>f_59</t>
  </si>
  <si>
    <t>f_60</t>
  </si>
  <si>
    <t>f_61</t>
  </si>
  <si>
    <t>f_62</t>
  </si>
  <si>
    <t>f_63</t>
  </si>
  <si>
    <t>f_64</t>
  </si>
  <si>
    <t>f_81</t>
  </si>
  <si>
    <t>f_84</t>
  </si>
  <si>
    <t>t_d</t>
  </si>
  <si>
    <t>ten_dia_diem_cskd_duoc</t>
  </si>
  <si>
    <t>dia_chi_kinh_doanh</t>
  </si>
  <si>
    <t>nguoi_dai_dien_pl</t>
  </si>
  <si>
    <t>ho_ten_nguoi_ctncm</t>
  </si>
  <si>
    <t>date_dg</t>
  </si>
  <si>
    <t>f_5</t>
  </si>
  <si>
    <t>sl_dsdh</t>
  </si>
  <si>
    <t>sl_dscd</t>
  </si>
  <si>
    <t>sl_dsth</t>
  </si>
  <si>
    <t>sl_duoc_ta</t>
  </si>
  <si>
    <t>sl_bằng cấp khác</t>
  </si>
  <si>
    <t>f_8</t>
  </si>
  <si>
    <t>f_10</t>
  </si>
  <si>
    <t>f_11</t>
  </si>
  <si>
    <t>f_12</t>
  </si>
  <si>
    <t>f_13</t>
  </si>
  <si>
    <t>f_16</t>
  </si>
  <si>
    <t>f_17</t>
  </si>
  <si>
    <t>f_18</t>
  </si>
  <si>
    <t>f_19</t>
  </si>
  <si>
    <t>f_20</t>
  </si>
  <si>
    <t>f_21</t>
  </si>
  <si>
    <t/>
  </si>
  <si>
    <t>Quầy Thuốc Khánh Phúc</t>
  </si>
  <si>
    <t>Quầy thuốc Bích Liên</t>
  </si>
  <si>
    <t>Quầy thuốc Kim Oanh</t>
  </si>
  <si>
    <t>Thôn Thượng, xã A Sào, tỉnh Hưng Yên</t>
  </si>
  <si>
    <t>Thôn Phong Lôi Đông, xã Đông Hưng, tỉnh Hưng Yên</t>
  </si>
  <si>
    <t>Thôn Thanh Lãng, xã Hồng Minh, tỉnh Hưng Yên</t>
  </si>
  <si>
    <t>ĐÀM THỊ THẢO</t>
  </si>
  <si>
    <t>LẠI THỊ BÍCH LIÊN</t>
  </si>
  <si>
    <t>NGUYỄN THỊ KIM OANH</t>
  </si>
  <si>
    <t>06/12/2025</t>
  </si>
  <si>
    <t>TT</t>
  </si>
  <si>
    <t>Điểm đạt</t>
  </si>
  <si>
    <t>{{f_5=1}}</t>
  </si>
  <si>
    <t>{{f_8=1}}</t>
  </si>
  <si>
    <t>{{f_8=0}}</t>
  </si>
  <si>
    <t>{{f_10=1}}</t>
  </si>
  <si>
    <t>{{f_11=1}}</t>
  </si>
  <si>
    <t>{{f_12=1}}</t>
  </si>
  <si>
    <t>{{f_13=2}}</t>
  </si>
  <si>
    <t>{{f_16=2}}</t>
  </si>
  <si>
    <t>{{f_17=0}}</t>
  </si>
  <si>
    <t>{{f_18=1}}</t>
  </si>
  <si>
    <t>{{f_19=1}}</t>
  </si>
  <si>
    <t>{{f_20=1}}</t>
  </si>
  <si>
    <t>{{f_21=2}}</t>
  </si>
  <si>
    <t>{{f_22=2}}</t>
  </si>
  <si>
    <t>{{f_23=0}}</t>
  </si>
  <si>
    <t>{{f_24=0}}</t>
  </si>
  <si>
    <t>{{f_25=1}}</t>
  </si>
  <si>
    <t>{{f_26=1}}</t>
  </si>
  <si>
    <t>{{f_28=0}}</t>
  </si>
  <si>
    <t>{{f_29=1}}</t>
  </si>
  <si>
    <t>{{f_30=2}}</t>
  </si>
  <si>
    <t>{{f_31=1}}</t>
  </si>
  <si>
    <t>{{f_32=0}}</t>
  </si>
  <si>
    <t>{{f_33=1}}</t>
  </si>
  <si>
    <t>{{f_34=1}}</t>
  </si>
  <si>
    <t>{{f_35=2}}</t>
  </si>
  <si>
    <t>{{f_36=1}}</t>
  </si>
  <si>
    <t>{{f_37=1}}</t>
  </si>
  <si>
    <t>{{f_38=2}}</t>
  </si>
  <si>
    <t>{{f_39=2}}</t>
  </si>
  <si>
    <t>{{f_40=1}}</t>
  </si>
  <si>
    <t>{{f_49=2}}</t>
  </si>
  <si>
    <t>{{f_50=1}}</t>
  </si>
  <si>
    <t>{{f_51=1}}</t>
  </si>
  <si>
    <t>{{f_1=1}}</t>
  </si>
  <si>
    <t>{{f_56=2}}</t>
  </si>
  <si>
    <t>{{f_58=1}}</t>
  </si>
  <si>
    <t>{{f_59=1}}</t>
  </si>
  <si>
    <t>{{f_60=1}}</t>
  </si>
  <si>
    <t>{{f_61=1}}</t>
  </si>
  <si>
    <t>{{f_62=1}}</t>
  </si>
  <si>
    <t>{{f_63=1}}</t>
  </si>
  <si>
    <t>{{f_64=1}}</t>
  </si>
  <si>
    <t>{{f_81=1}}</t>
  </si>
  <si>
    <t>{{f_84=1}}</t>
  </si>
  <si>
    <t>{{t_d}}</t>
  </si>
  <si>
    <t>t_d}}</t>
  </si>
  <si>
    <t>{{t_d</t>
  </si>
  <si>
    <t>251110-0019</t>
  </si>
  <si>
    <t>251117-0018</t>
  </si>
  <si>
    <t>251118-0013</t>
  </si>
  <si>
    <t>Checklist_Quầy Thuốc Khánh Phúc_251110-0019</t>
  </si>
  <si>
    <t>Checklist_Quầy thuốc Bích Liên_251117-0018</t>
  </si>
  <si>
    <t>Checklist_Quầy thuốc Kim Oanh_251118-0013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</si>
</sst>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"/>
  <sheetViews>
    <sheetView tabSelected="1" workbookViewId="0">
      <selection activeCell="I36" sqref="I36"/>
    </sheetView>
  </sheetViews>
  <sheetFormatPr defaultRowHeight="15" x14ac:dyDescent="0.25"/>
  <cols>
    <col min="1" max="1" width="20.6328125" customWidth="1"/>
    <col min="2" max="34" width="5" customWidth="1"/>
    <col min="35" max="39" width="16.7265625" customWidth="1"/>
    <col min="40" max="57" width="5.726562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9" x14ac:dyDescent="0.25">
      <c r="A2" t="s">
        <v>120</v>
      </c>
      <c r="B2">
        <f>VLOOKUP(B$1,Sheet1!$C$2:$D$48,2,0)</f>
        <v>2</v>
      </c>
      <c r="C2">
        <f>VLOOKUP(C$1,Sheet1!$C$2:$D$48,2,0)</f>
        <v>0</v>
      </c>
      <c r="D2">
        <f>VLOOKUP(D$1,Sheet1!$C$2:$D$48,2,0)</f>
        <v>0</v>
      </c>
      <c r="E2">
        <f>VLOOKUP(E$1,Sheet1!$C$2:$D$48,2,0)</f>
        <v>1</v>
      </c>
      <c r="F2">
        <f>VLOOKUP(F$1,Sheet1!$C$2:$D$48,2,0)</f>
        <v>1</v>
      </c>
      <c r="G2">
        <f>VLOOKUP(G$1,Sheet1!$C$2:$D$48,2,0)</f>
        <v>0</v>
      </c>
      <c r="H2">
        <f>VLOOKUP(H$1,Sheet1!$C$2:$D$48,2,0)</f>
        <v>1</v>
      </c>
      <c r="I2">
        <f>VLOOKUP(I$1,Sheet1!$C$2:$D$48,2,0)</f>
        <v>2</v>
      </c>
      <c r="J2">
        <f>VLOOKUP(J$1,Sheet1!$C$2:$D$48,2,0)</f>
        <v>1</v>
      </c>
      <c r="K2">
        <f>VLOOKUP(K$1,Sheet1!$C$2:$D$48,2,0)</f>
        <v>0</v>
      </c>
      <c r="L2">
        <f>VLOOKUP(L$1,Sheet1!$C$2:$D$48,2,0)</f>
        <v>1</v>
      </c>
      <c r="M2">
        <f>VLOOKUP(M$1,Sheet1!$C$2:$D$48,2,0)</f>
        <v>1</v>
      </c>
      <c r="N2">
        <f>VLOOKUP(N$1,Sheet1!$C$2:$D$48,2,0)</f>
        <v>2</v>
      </c>
      <c r="O2">
        <f>VLOOKUP(O$1,Sheet1!$C$2:$D$48,2,0)</f>
        <v>1</v>
      </c>
      <c r="P2">
        <f>VLOOKUP(P$1,Sheet1!$C$2:$D$48,2,0)</f>
        <v>1</v>
      </c>
      <c r="Q2">
        <f>VLOOKUP(Q$1,Sheet1!$C$2:$D$48,2,0)</f>
        <v>2</v>
      </c>
      <c r="R2">
        <f>VLOOKUP(R$1,Sheet1!$C$2:$D$48,2,0)</f>
        <v>2</v>
      </c>
      <c r="S2">
        <f>VLOOKUP(S$1,Sheet1!$C$2:$D$48,2,0)</f>
        <v>1</v>
      </c>
      <c r="T2">
        <f>VLOOKUP(T$1,Sheet1!$C$2:$D$48,2,0)</f>
        <v>2</v>
      </c>
      <c r="U2">
        <f>VLOOKUP(U$1,Sheet1!$C$2:$D$48,2,0)</f>
        <v>1</v>
      </c>
      <c r="V2">
        <f>VLOOKUP(V$1,Sheet1!$C$2:$D$48,2,0)</f>
        <v>1</v>
      </c>
      <c r="W2">
        <f>VLOOKUP(W$1,Sheet1!$C$2:$D$48,2,0)</f>
        <v>1</v>
      </c>
      <c r="X2">
        <f>VLOOKUP(X$1,Sheet1!$C$2:$D$48,2,0)</f>
        <v>2</v>
      </c>
      <c r="Y2">
        <f>VLOOKUP(Y$1,Sheet1!$C$2:$D$48,2,0)</f>
        <v>1</v>
      </c>
      <c r="Z2">
        <f>VLOOKUP(Z$1,Sheet1!$C$2:$D$48,2,0)</f>
        <v>1</v>
      </c>
      <c r="AA2">
        <f>VLOOKUP(AA$1,Sheet1!$C$2:$D$48,2,0)</f>
        <v>1</v>
      </c>
      <c r="AB2">
        <f>VLOOKUP(AB$1,Sheet1!$C$2:$D$48,2,0)</f>
        <v>1</v>
      </c>
      <c r="AC2">
        <f>VLOOKUP(AC$1,Sheet1!$C$2:$D$48,2,0)</f>
        <v>1</v>
      </c>
      <c r="AD2">
        <f>VLOOKUP(AD$1,Sheet1!$C$2:$D$48,2,0)</f>
        <v>1</v>
      </c>
      <c r="AE2">
        <f>VLOOKUP(AE$1,Sheet1!$C$2:$D$48,2,0)</f>
        <v>1</v>
      </c>
      <c r="AF2">
        <f>VLOOKUP(AF$1,Sheet1!$C$2:$D$48,2,0)</f>
        <v>1</v>
      </c>
      <c r="AG2">
        <f>VLOOKUP(AG$1,Sheet1!$C$2:$D$48,2,0)</f>
        <v>1</v>
      </c>
      <c r="AI2" t="s">
        <v>57</v>
      </c>
      <c r="AJ2" t="s">
        <v>60</v>
      </c>
      <c r="AL2" t="s">
        <v>63</v>
      </c>
      <c r="AM2" s="1" t="s">
        <v>66</v>
      </c>
      <c r="AN2">
        <f>VLOOKUP(AN$1,Sheet1!$C$2:$D$48,2,0)</f>
        <v>1</v>
      </c>
      <c r="AT2">
        <f>VLOOKUP(AT$1,Sheet1!$C$2:$D$48,2,0)</f>
        <v>1</v>
      </c>
      <c r="AU2">
        <f>VLOOKUP(AU$1,Sheet1!$C$2:$D$48,2,0)</f>
        <v>1</v>
      </c>
      <c r="AV2">
        <f>VLOOKUP(AV$1,Sheet1!$C$2:$D$48,2,0)</f>
        <v>1</v>
      </c>
      <c r="AW2">
        <f>VLOOKUP(AW$1,Sheet1!$C$2:$D$48,2,0)</f>
        <v>1</v>
      </c>
      <c r="AX2">
        <f>VLOOKUP(AX$1,Sheet1!$C$2:$D$48,2,0)</f>
        <v>1</v>
      </c>
      <c r="AY2">
        <f>VLOOKUP(AY$1,Sheet1!$C$2:$D$48,2,0)</f>
        <v>2</v>
      </c>
      <c r="AZ2">
        <f>VLOOKUP(AZ$1,Sheet1!$C$2:$D$48,2,0)</f>
        <v>2</v>
      </c>
      <c r="BA2">
        <f>VLOOKUP(BA$1,Sheet1!$C$2:$D$48,2,0)</f>
        <v>0</v>
      </c>
      <c r="BB2">
        <f>VLOOKUP(BB$1,Sheet1!$C$2:$D$48,2,0)</f>
        <v>1</v>
      </c>
      <c r="BC2">
        <f>VLOOKUP(BC$1,Sheet1!$C$2:$D$48,2,0)</f>
        <v>1</v>
      </c>
      <c r="BD2">
        <f>VLOOKUP(BD$1,Sheet1!$C$2:$D$48,2,0)</f>
        <v>1</v>
      </c>
      <c r="BE2">
        <f>VLOOKUP(BE$1,Sheet1!$C$2:$D$48,2,0)</f>
        <v>2</v>
      </c>
      <c r="BF2" t="s">
        <v>117</v>
      </c>
      <c r="BG2" t="str">
        <f>"Checklist_"&amp;AI2&amp;"_"&amp;BF2</f>
        <v>Checklist_Quầy Thuốc Khánh Phúc_251110-0019</v>
      </c>
    </row>
    <row r="3" spans="1:59" x14ac:dyDescent="0.25">
      <c r="A3" t="s">
        <v>121</v>
      </c>
      <c r="B3">
        <f>VLOOKUP(B$1,Sheet1!$C$2:$D$48,2,0)</f>
        <v>2</v>
      </c>
      <c r="C3">
        <f>VLOOKUP(C$1,Sheet1!$C$2:$D$48,2,0)</f>
        <v>0</v>
      </c>
      <c r="D3">
        <f>VLOOKUP(D$1,Sheet1!$C$2:$D$48,2,0)</f>
        <v>0</v>
      </c>
      <c r="E3">
        <f>VLOOKUP(E$1,Sheet1!$C$2:$D$48,2,0)</f>
        <v>1</v>
      </c>
      <c r="F3">
        <f>VLOOKUP(F$1,Sheet1!$C$2:$D$48,2,0)</f>
        <v>1</v>
      </c>
      <c r="G3">
        <f>VLOOKUP(G$1,Sheet1!$C$2:$D$48,2,0)</f>
        <v>0</v>
      </c>
      <c r="H3">
        <f>VLOOKUP(H$1,Sheet1!$C$2:$D$48,2,0)</f>
        <v>1</v>
      </c>
      <c r="I3">
        <f>VLOOKUP(I$1,Sheet1!$C$2:$D$48,2,0)</f>
        <v>2</v>
      </c>
      <c r="J3">
        <f>VLOOKUP(J$1,Sheet1!$C$2:$D$48,2,0)</f>
        <v>1</v>
      </c>
      <c r="K3">
        <f>VLOOKUP(K$1,Sheet1!$C$2:$D$48,2,0)</f>
        <v>0</v>
      </c>
      <c r="L3">
        <f>VLOOKUP(L$1,Sheet1!$C$2:$D$48,2,0)</f>
        <v>1</v>
      </c>
      <c r="M3">
        <f>VLOOKUP(M$1,Sheet1!$C$2:$D$48,2,0)</f>
        <v>1</v>
      </c>
      <c r="N3">
        <f>VLOOKUP(N$1,Sheet1!$C$2:$D$48,2,0)</f>
        <v>2</v>
      </c>
      <c r="O3">
        <f>VLOOKUP(O$1,Sheet1!$C$2:$D$48,2,0)</f>
        <v>1</v>
      </c>
      <c r="P3">
        <f>VLOOKUP(P$1,Sheet1!$C$2:$D$48,2,0)</f>
        <v>1</v>
      </c>
      <c r="Q3">
        <f>VLOOKUP(Q$1,Sheet1!$C$2:$D$48,2,0)</f>
        <v>2</v>
      </c>
      <c r="R3">
        <f>VLOOKUP(R$1,Sheet1!$C$2:$D$48,2,0)</f>
        <v>2</v>
      </c>
      <c r="S3">
        <f>VLOOKUP(S$1,Sheet1!$C$2:$D$48,2,0)</f>
        <v>1</v>
      </c>
      <c r="T3">
        <f>VLOOKUP(T$1,Sheet1!$C$2:$D$48,2,0)</f>
        <v>2</v>
      </c>
      <c r="U3">
        <f>VLOOKUP(U$1,Sheet1!$C$2:$D$48,2,0)</f>
        <v>1</v>
      </c>
      <c r="V3">
        <f>VLOOKUP(V$1,Sheet1!$C$2:$D$48,2,0)</f>
        <v>1</v>
      </c>
      <c r="W3">
        <f>VLOOKUP(W$1,Sheet1!$C$2:$D$48,2,0)</f>
        <v>1</v>
      </c>
      <c r="X3">
        <f>VLOOKUP(X$1,Sheet1!$C$2:$D$48,2,0)</f>
        <v>2</v>
      </c>
      <c r="Y3">
        <f>VLOOKUP(Y$1,Sheet1!$C$2:$D$48,2,0)</f>
        <v>1</v>
      </c>
      <c r="Z3">
        <f>VLOOKUP(Z$1,Sheet1!$C$2:$D$48,2,0)</f>
        <v>1</v>
      </c>
      <c r="AA3">
        <f>VLOOKUP(AA$1,Sheet1!$C$2:$D$48,2,0)</f>
        <v>1</v>
      </c>
      <c r="AB3">
        <f>VLOOKUP(AB$1,Sheet1!$C$2:$D$48,2,0)</f>
        <v>1</v>
      </c>
      <c r="AC3">
        <f>VLOOKUP(AC$1,Sheet1!$C$2:$D$48,2,0)</f>
        <v>1</v>
      </c>
      <c r="AD3">
        <f>VLOOKUP(AD$1,Sheet1!$C$2:$D$48,2,0)</f>
        <v>1</v>
      </c>
      <c r="AE3">
        <f>VLOOKUP(AE$1,Sheet1!$C$2:$D$48,2,0)</f>
        <v>1</v>
      </c>
      <c r="AF3">
        <f>VLOOKUP(AF$1,Sheet1!$C$2:$D$48,2,0)</f>
        <v>1</v>
      </c>
      <c r="AG3">
        <f>VLOOKUP(AG$1,Sheet1!$C$2:$D$48,2,0)</f>
        <v>1</v>
      </c>
      <c r="AI3" t="s">
        <v>58</v>
      </c>
      <c r="AJ3" t="s">
        <v>61</v>
      </c>
      <c r="AL3" t="s">
        <v>64</v>
      </c>
      <c r="AM3" s="1" t="s">
        <v>66</v>
      </c>
      <c r="AN3">
        <f>VLOOKUP(AN$1,Sheet1!$C$2:$D$48,2,0)</f>
        <v>1</v>
      </c>
      <c r="AT3">
        <f>VLOOKUP(AT$1,Sheet1!$C$2:$D$48,2,0)</f>
        <v>1</v>
      </c>
      <c r="AU3">
        <f>VLOOKUP(AU$1,Sheet1!$C$2:$D$48,2,0)</f>
        <v>1</v>
      </c>
      <c r="AV3">
        <f>VLOOKUP(AV$1,Sheet1!$C$2:$D$48,2,0)</f>
        <v>1</v>
      </c>
      <c r="AW3">
        <f>VLOOKUP(AW$1,Sheet1!$C$2:$D$48,2,0)</f>
        <v>1</v>
      </c>
      <c r="AX3">
        <f>VLOOKUP(AX$1,Sheet1!$C$2:$D$48,2,0)</f>
        <v>1</v>
      </c>
      <c r="AY3">
        <f>VLOOKUP(AY$1,Sheet1!$C$2:$D$48,2,0)</f>
        <v>2</v>
      </c>
      <c r="AZ3">
        <f>VLOOKUP(AZ$1,Sheet1!$C$2:$D$48,2,0)</f>
        <v>2</v>
      </c>
      <c r="BA3">
        <f>VLOOKUP(BA$1,Sheet1!$C$2:$D$48,2,0)</f>
        <v>0</v>
      </c>
      <c r="BB3">
        <f>VLOOKUP(BB$1,Sheet1!$C$2:$D$48,2,0)</f>
        <v>1</v>
      </c>
      <c r="BC3">
        <f>VLOOKUP(BC$1,Sheet1!$C$2:$D$48,2,0)</f>
        <v>1</v>
      </c>
      <c r="BD3">
        <f>VLOOKUP(BD$1,Sheet1!$C$2:$D$48,2,0)</f>
        <v>1</v>
      </c>
      <c r="BE3">
        <f>VLOOKUP(BE$1,Sheet1!$C$2:$D$48,2,0)</f>
        <v>2</v>
      </c>
      <c r="BF3" t="s">
        <v>118</v>
      </c>
      <c r="BG3" t="str">
        <f t="shared" ref="BG3:BG4" si="0">"Checklist_"&amp;AI3&amp;"_"&amp;BF3</f>
        <v>Checklist_Quầy thuốc Bích Liên_251117-0018</v>
      </c>
    </row>
    <row r="4" spans="1:59" x14ac:dyDescent="0.25">
      <c r="A4" t="s">
        <v>122</v>
      </c>
      <c r="B4">
        <f>VLOOKUP(B$1,Sheet1!$C$2:$D$48,2,0)</f>
        <v>2</v>
      </c>
      <c r="C4">
        <f>VLOOKUP(C$1,Sheet1!$C$2:$D$48,2,0)</f>
        <v>0</v>
      </c>
      <c r="D4">
        <f>VLOOKUP(D$1,Sheet1!$C$2:$D$48,2,0)</f>
        <v>0</v>
      </c>
      <c r="E4">
        <f>VLOOKUP(E$1,Sheet1!$C$2:$D$48,2,0)</f>
        <v>1</v>
      </c>
      <c r="F4">
        <f>VLOOKUP(F$1,Sheet1!$C$2:$D$48,2,0)</f>
        <v>1</v>
      </c>
      <c r="G4">
        <f>VLOOKUP(G$1,Sheet1!$C$2:$D$48,2,0)</f>
        <v>0</v>
      </c>
      <c r="H4">
        <f>VLOOKUP(H$1,Sheet1!$C$2:$D$48,2,0)</f>
        <v>1</v>
      </c>
      <c r="I4">
        <f>VLOOKUP(I$1,Sheet1!$C$2:$D$48,2,0)</f>
        <v>2</v>
      </c>
      <c r="J4">
        <f>VLOOKUP(J$1,Sheet1!$C$2:$D$48,2,0)</f>
        <v>1</v>
      </c>
      <c r="K4">
        <f>VLOOKUP(K$1,Sheet1!$C$2:$D$48,2,0)</f>
        <v>0</v>
      </c>
      <c r="L4">
        <f>VLOOKUP(L$1,Sheet1!$C$2:$D$48,2,0)</f>
        <v>1</v>
      </c>
      <c r="M4">
        <f>VLOOKUP(M$1,Sheet1!$C$2:$D$48,2,0)</f>
        <v>1</v>
      </c>
      <c r="N4">
        <f>VLOOKUP(N$1,Sheet1!$C$2:$D$48,2,0)</f>
        <v>2</v>
      </c>
      <c r="O4">
        <f>VLOOKUP(O$1,Sheet1!$C$2:$D$48,2,0)</f>
        <v>1</v>
      </c>
      <c r="P4">
        <f>VLOOKUP(P$1,Sheet1!$C$2:$D$48,2,0)</f>
        <v>1</v>
      </c>
      <c r="Q4">
        <f>VLOOKUP(Q$1,Sheet1!$C$2:$D$48,2,0)</f>
        <v>2</v>
      </c>
      <c r="R4">
        <f>VLOOKUP(R$1,Sheet1!$C$2:$D$48,2,0)</f>
        <v>2</v>
      </c>
      <c r="S4">
        <f>VLOOKUP(S$1,Sheet1!$C$2:$D$48,2,0)</f>
        <v>1</v>
      </c>
      <c r="T4">
        <f>VLOOKUP(T$1,Sheet1!$C$2:$D$48,2,0)</f>
        <v>2</v>
      </c>
      <c r="U4">
        <f>VLOOKUP(U$1,Sheet1!$C$2:$D$48,2,0)</f>
        <v>1</v>
      </c>
      <c r="V4">
        <f>VLOOKUP(V$1,Sheet1!$C$2:$D$48,2,0)</f>
        <v>1</v>
      </c>
      <c r="W4">
        <f>VLOOKUP(W$1,Sheet1!$C$2:$D$48,2,0)</f>
        <v>1</v>
      </c>
      <c r="X4">
        <f>VLOOKUP(X$1,Sheet1!$C$2:$D$48,2,0)</f>
        <v>2</v>
      </c>
      <c r="Y4">
        <f>VLOOKUP(Y$1,Sheet1!$C$2:$D$48,2,0)</f>
        <v>1</v>
      </c>
      <c r="Z4">
        <f>VLOOKUP(Z$1,Sheet1!$C$2:$D$48,2,0)</f>
        <v>1</v>
      </c>
      <c r="AA4">
        <f>VLOOKUP(AA$1,Sheet1!$C$2:$D$48,2,0)</f>
        <v>1</v>
      </c>
      <c r="AB4">
        <f>VLOOKUP(AB$1,Sheet1!$C$2:$D$48,2,0)</f>
        <v>1</v>
      </c>
      <c r="AC4">
        <f>VLOOKUP(AC$1,Sheet1!$C$2:$D$48,2,0)</f>
        <v>1</v>
      </c>
      <c r="AD4">
        <f>VLOOKUP(AD$1,Sheet1!$C$2:$D$48,2,0)</f>
        <v>1</v>
      </c>
      <c r="AE4">
        <f>VLOOKUP(AE$1,Sheet1!$C$2:$D$48,2,0)</f>
        <v>1</v>
      </c>
      <c r="AF4">
        <f>VLOOKUP(AF$1,Sheet1!$C$2:$D$48,2,0)</f>
        <v>1</v>
      </c>
      <c r="AG4">
        <f>VLOOKUP(AG$1,Sheet1!$C$2:$D$48,2,0)</f>
        <v>1</v>
      </c>
      <c r="AH4" t="s">
        <v>56</v>
      </c>
      <c r="AI4" t="s">
        <v>59</v>
      </c>
      <c r="AJ4" t="s">
        <v>62</v>
      </c>
      <c r="AK4" t="s">
        <v>56</v>
      </c>
      <c r="AL4" t="s">
        <v>65</v>
      </c>
      <c r="AM4" s="1" t="s">
        <v>66</v>
      </c>
      <c r="AN4">
        <f>VLOOKUP(AN$1,Sheet1!$C$2:$D$48,2,0)</f>
        <v>1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>
        <f>VLOOKUP(AT$1,Sheet1!$C$2:$D$48,2,0)</f>
        <v>1</v>
      </c>
      <c r="AU4">
        <f>VLOOKUP(AU$1,Sheet1!$C$2:$D$48,2,0)</f>
        <v>1</v>
      </c>
      <c r="AV4">
        <f>VLOOKUP(AV$1,Sheet1!$C$2:$D$48,2,0)</f>
        <v>1</v>
      </c>
      <c r="AW4">
        <f>VLOOKUP(AW$1,Sheet1!$C$2:$D$48,2,0)</f>
        <v>1</v>
      </c>
      <c r="AX4">
        <f>VLOOKUP(AX$1,Sheet1!$C$2:$D$48,2,0)</f>
        <v>1</v>
      </c>
      <c r="AY4">
        <f>VLOOKUP(AY$1,Sheet1!$C$2:$D$48,2,0)</f>
        <v>2</v>
      </c>
      <c r="AZ4">
        <f>VLOOKUP(AZ$1,Sheet1!$C$2:$D$48,2,0)</f>
        <v>2</v>
      </c>
      <c r="BA4">
        <f>VLOOKUP(BA$1,Sheet1!$C$2:$D$48,2,0)</f>
        <v>0</v>
      </c>
      <c r="BB4">
        <f>VLOOKUP(BB$1,Sheet1!$C$2:$D$48,2,0)</f>
        <v>1</v>
      </c>
      <c r="BC4">
        <f>VLOOKUP(BC$1,Sheet1!$C$2:$D$48,2,0)</f>
        <v>1</v>
      </c>
      <c r="BD4">
        <f>VLOOKUP(BD$1,Sheet1!$C$2:$D$48,2,0)</f>
        <v>1</v>
      </c>
      <c r="BE4">
        <f>VLOOKUP(BE$1,Sheet1!$C$2:$D$48,2,0)</f>
        <v>2</v>
      </c>
      <c r="BF4" t="s">
        <v>119</v>
      </c>
      <c r="BG4" t="str">
        <f t="shared" si="0"/>
        <v>Checklist_Quầy thuốc Kim Oanh_251118-0013</v>
      </c>
    </row>
  </sheetData>
  <pageMargins left="0.7" right="0.7" top="0.75" bottom="0.75" header="0.3" footer="0.3"/>
  <ignoredErrors>
    <ignoredError sqref="A1:BE1 AK4 AO4:AS4 AH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4D40-3C32-431F-87CB-EFFE187DB98B}">
  <dimension ref="A1:D48"/>
  <sheetViews>
    <sheetView topLeftCell="A6" workbookViewId="0">
      <selection activeCell="C2" sqref="C2"/>
    </sheetView>
  </sheetViews>
  <sheetFormatPr defaultRowHeight="15" x14ac:dyDescent="0.25"/>
  <cols>
    <col min="1" max="1" width="5.453125" customWidth="1"/>
    <col min="3" max="3" width="10.54296875" customWidth="1"/>
    <col min="4" max="4" width="13.26953125" customWidth="1"/>
  </cols>
  <sheetData>
    <row r="1" spans="1:4" x14ac:dyDescent="0.25">
      <c r="A1" t="s">
        <v>67</v>
      </c>
      <c r="B1" t="s">
        <v>68</v>
      </c>
      <c r="C1" t="s">
        <v>68</v>
      </c>
      <c r="D1" t="s">
        <v>68</v>
      </c>
    </row>
    <row r="2" spans="1:4" x14ac:dyDescent="0.25">
      <c r="A2">
        <v>3</v>
      </c>
      <c r="B2" t="s">
        <v>69</v>
      </c>
      <c r="C2" t="s">
        <v>39</v>
      </c>
      <c r="D2">
        <v>1</v>
      </c>
    </row>
    <row r="3" spans="1:4" x14ac:dyDescent="0.25">
      <c r="A3">
        <v>5</v>
      </c>
      <c r="B3" t="s">
        <v>70</v>
      </c>
      <c r="C3" t="s">
        <v>45</v>
      </c>
      <c r="D3">
        <v>1</v>
      </c>
    </row>
    <row r="4" spans="1:4" x14ac:dyDescent="0.25">
      <c r="A4">
        <v>6</v>
      </c>
      <c r="B4" t="s">
        <v>71</v>
      </c>
      <c r="C4" t="s">
        <v>45</v>
      </c>
      <c r="D4">
        <v>0</v>
      </c>
    </row>
    <row r="5" spans="1:4" x14ac:dyDescent="0.25">
      <c r="A5">
        <v>7</v>
      </c>
      <c r="B5" t="s">
        <v>72</v>
      </c>
      <c r="C5" t="s">
        <v>46</v>
      </c>
      <c r="D5">
        <v>1</v>
      </c>
    </row>
    <row r="6" spans="1:4" x14ac:dyDescent="0.25">
      <c r="A6">
        <v>8</v>
      </c>
      <c r="B6" t="s">
        <v>73</v>
      </c>
      <c r="C6" t="s">
        <v>47</v>
      </c>
      <c r="D6">
        <v>1</v>
      </c>
    </row>
    <row r="7" spans="1:4" x14ac:dyDescent="0.25">
      <c r="A7">
        <v>9</v>
      </c>
      <c r="B7" t="s">
        <v>74</v>
      </c>
      <c r="C7" t="s">
        <v>48</v>
      </c>
      <c r="D7">
        <v>1</v>
      </c>
    </row>
    <row r="8" spans="1:4" x14ac:dyDescent="0.25">
      <c r="A8">
        <v>10</v>
      </c>
      <c r="B8" t="s">
        <v>75</v>
      </c>
      <c r="C8" t="s">
        <v>49</v>
      </c>
      <c r="D8">
        <v>2</v>
      </c>
    </row>
    <row r="9" spans="1:4" x14ac:dyDescent="0.25">
      <c r="A9">
        <v>12</v>
      </c>
      <c r="B9" t="s">
        <v>76</v>
      </c>
      <c r="C9" t="s">
        <v>50</v>
      </c>
      <c r="D9">
        <v>2</v>
      </c>
    </row>
    <row r="10" spans="1:4" x14ac:dyDescent="0.25">
      <c r="A10">
        <v>13</v>
      </c>
      <c r="B10" t="s">
        <v>77</v>
      </c>
      <c r="C10" t="s">
        <v>51</v>
      </c>
      <c r="D10">
        <v>0</v>
      </c>
    </row>
    <row r="11" spans="1:4" x14ac:dyDescent="0.25">
      <c r="A11">
        <v>14</v>
      </c>
      <c r="B11" t="s">
        <v>78</v>
      </c>
      <c r="C11" t="s">
        <v>52</v>
      </c>
      <c r="D11">
        <v>1</v>
      </c>
    </row>
    <row r="12" spans="1:4" x14ac:dyDescent="0.25">
      <c r="A12">
        <v>15</v>
      </c>
      <c r="B12" t="s">
        <v>79</v>
      </c>
      <c r="C12" t="s">
        <v>53</v>
      </c>
      <c r="D12">
        <v>1</v>
      </c>
    </row>
    <row r="13" spans="1:4" x14ac:dyDescent="0.25">
      <c r="A13">
        <v>16</v>
      </c>
      <c r="B13" t="s">
        <v>80</v>
      </c>
      <c r="C13" t="s">
        <v>54</v>
      </c>
      <c r="D13">
        <v>1</v>
      </c>
    </row>
    <row r="14" spans="1:4" x14ac:dyDescent="0.25">
      <c r="A14">
        <v>17</v>
      </c>
      <c r="B14" t="s">
        <v>81</v>
      </c>
      <c r="C14" t="s">
        <v>55</v>
      </c>
      <c r="D14">
        <v>2</v>
      </c>
    </row>
    <row r="15" spans="1:4" x14ac:dyDescent="0.25">
      <c r="A15">
        <v>18</v>
      </c>
      <c r="B15" t="s">
        <v>82</v>
      </c>
      <c r="C15" t="s">
        <v>1</v>
      </c>
      <c r="D15">
        <v>2</v>
      </c>
    </row>
    <row r="16" spans="1:4" x14ac:dyDescent="0.25">
      <c r="A16">
        <v>19</v>
      </c>
      <c r="B16" t="s">
        <v>83</v>
      </c>
      <c r="C16" t="s">
        <v>2</v>
      </c>
      <c r="D16">
        <v>0</v>
      </c>
    </row>
    <row r="17" spans="1:4" x14ac:dyDescent="0.25">
      <c r="A17">
        <v>20</v>
      </c>
      <c r="B17" t="s">
        <v>84</v>
      </c>
      <c r="C17" t="s">
        <v>3</v>
      </c>
      <c r="D17">
        <v>0</v>
      </c>
    </row>
    <row r="18" spans="1:4" x14ac:dyDescent="0.25">
      <c r="A18">
        <v>21</v>
      </c>
      <c r="B18" t="s">
        <v>85</v>
      </c>
      <c r="C18" t="s">
        <v>4</v>
      </c>
      <c r="D18">
        <v>1</v>
      </c>
    </row>
    <row r="19" spans="1:4" x14ac:dyDescent="0.25">
      <c r="A19">
        <v>22</v>
      </c>
      <c r="B19" t="s">
        <v>86</v>
      </c>
      <c r="C19" t="s">
        <v>5</v>
      </c>
      <c r="D19">
        <v>1</v>
      </c>
    </row>
    <row r="20" spans="1:4" x14ac:dyDescent="0.25">
      <c r="A20">
        <v>23</v>
      </c>
      <c r="B20" t="s">
        <v>87</v>
      </c>
      <c r="C20" t="s">
        <v>6</v>
      </c>
      <c r="D20">
        <v>0</v>
      </c>
    </row>
    <row r="21" spans="1:4" x14ac:dyDescent="0.25">
      <c r="A21">
        <v>24</v>
      </c>
      <c r="B21" t="s">
        <v>88</v>
      </c>
      <c r="C21" t="s">
        <v>7</v>
      </c>
      <c r="D21">
        <v>1</v>
      </c>
    </row>
    <row r="22" spans="1:4" x14ac:dyDescent="0.25">
      <c r="A22">
        <v>25</v>
      </c>
      <c r="B22" t="s">
        <v>89</v>
      </c>
      <c r="C22" t="s">
        <v>8</v>
      </c>
      <c r="D22">
        <v>2</v>
      </c>
    </row>
    <row r="23" spans="1:4" x14ac:dyDescent="0.25">
      <c r="A23">
        <v>26</v>
      </c>
      <c r="B23" t="s">
        <v>90</v>
      </c>
      <c r="C23" t="s">
        <v>9</v>
      </c>
      <c r="D23">
        <v>1</v>
      </c>
    </row>
    <row r="24" spans="1:4" x14ac:dyDescent="0.25">
      <c r="A24">
        <v>27</v>
      </c>
      <c r="B24" t="s">
        <v>91</v>
      </c>
      <c r="C24" t="s">
        <v>10</v>
      </c>
      <c r="D24">
        <v>0</v>
      </c>
    </row>
    <row r="25" spans="1:4" x14ac:dyDescent="0.25">
      <c r="A25">
        <v>28</v>
      </c>
      <c r="B25" t="s">
        <v>92</v>
      </c>
      <c r="C25" t="s">
        <v>11</v>
      </c>
      <c r="D25">
        <v>1</v>
      </c>
    </row>
    <row r="26" spans="1:4" x14ac:dyDescent="0.25">
      <c r="A26">
        <v>32</v>
      </c>
      <c r="B26" t="s">
        <v>92</v>
      </c>
      <c r="C26" t="s">
        <v>11</v>
      </c>
      <c r="D26">
        <v>1</v>
      </c>
    </row>
    <row r="27" spans="1:4" x14ac:dyDescent="0.25">
      <c r="A27">
        <v>34</v>
      </c>
      <c r="B27" t="s">
        <v>93</v>
      </c>
      <c r="C27" t="s">
        <v>12</v>
      </c>
      <c r="D27">
        <v>1</v>
      </c>
    </row>
    <row r="28" spans="1:4" x14ac:dyDescent="0.25">
      <c r="A28">
        <v>35</v>
      </c>
      <c r="B28" t="s">
        <v>94</v>
      </c>
      <c r="C28" t="s">
        <v>13</v>
      </c>
      <c r="D28">
        <v>2</v>
      </c>
    </row>
    <row r="29" spans="1:4" x14ac:dyDescent="0.25">
      <c r="A29">
        <v>36</v>
      </c>
      <c r="B29" t="s">
        <v>95</v>
      </c>
      <c r="C29" t="s">
        <v>14</v>
      </c>
      <c r="D29">
        <v>1</v>
      </c>
    </row>
    <row r="30" spans="1:4" x14ac:dyDescent="0.25">
      <c r="A30">
        <v>37</v>
      </c>
      <c r="B30" t="s">
        <v>96</v>
      </c>
      <c r="C30" t="s">
        <v>15</v>
      </c>
      <c r="D30">
        <v>1</v>
      </c>
    </row>
    <row r="31" spans="1:4" x14ac:dyDescent="0.25">
      <c r="A31">
        <v>38</v>
      </c>
      <c r="B31" t="s">
        <v>97</v>
      </c>
      <c r="C31" t="s">
        <v>16</v>
      </c>
      <c r="D31">
        <v>2</v>
      </c>
    </row>
    <row r="32" spans="1:4" x14ac:dyDescent="0.25">
      <c r="A32">
        <v>39</v>
      </c>
      <c r="B32" t="s">
        <v>98</v>
      </c>
      <c r="C32" t="s">
        <v>17</v>
      </c>
      <c r="D32">
        <v>2</v>
      </c>
    </row>
    <row r="33" spans="1:4" x14ac:dyDescent="0.25">
      <c r="A33">
        <v>43</v>
      </c>
      <c r="B33" t="s">
        <v>99</v>
      </c>
      <c r="C33" t="s">
        <v>18</v>
      </c>
      <c r="D33">
        <v>1</v>
      </c>
    </row>
    <row r="34" spans="1:4" x14ac:dyDescent="0.25">
      <c r="A34">
        <v>46</v>
      </c>
      <c r="B34" t="s">
        <v>100</v>
      </c>
      <c r="C34" t="s">
        <v>19</v>
      </c>
      <c r="D34">
        <v>2</v>
      </c>
    </row>
    <row r="35" spans="1:4" x14ac:dyDescent="0.25">
      <c r="A35">
        <v>47</v>
      </c>
      <c r="B35" t="s">
        <v>101</v>
      </c>
      <c r="C35" t="s">
        <v>20</v>
      </c>
      <c r="D35">
        <v>1</v>
      </c>
    </row>
    <row r="36" spans="1:4" x14ac:dyDescent="0.25">
      <c r="A36">
        <v>49</v>
      </c>
      <c r="B36" t="s">
        <v>102</v>
      </c>
      <c r="C36" t="s">
        <v>21</v>
      </c>
      <c r="D36">
        <v>1</v>
      </c>
    </row>
    <row r="37" spans="1:4" x14ac:dyDescent="0.25">
      <c r="A37">
        <v>50</v>
      </c>
      <c r="B37" t="s">
        <v>103</v>
      </c>
      <c r="C37" t="s">
        <v>22</v>
      </c>
      <c r="D37">
        <v>1</v>
      </c>
    </row>
    <row r="38" spans="1:4" x14ac:dyDescent="0.25">
      <c r="A38">
        <v>52</v>
      </c>
      <c r="B38" t="s">
        <v>104</v>
      </c>
      <c r="C38" t="s">
        <v>23</v>
      </c>
      <c r="D38">
        <v>2</v>
      </c>
    </row>
    <row r="39" spans="1:4" x14ac:dyDescent="0.25">
      <c r="A39">
        <v>57</v>
      </c>
      <c r="B39" t="s">
        <v>105</v>
      </c>
      <c r="C39" t="s">
        <v>24</v>
      </c>
      <c r="D39">
        <v>1</v>
      </c>
    </row>
    <row r="40" spans="1:4" x14ac:dyDescent="0.25">
      <c r="A40">
        <v>58</v>
      </c>
      <c r="B40" t="s">
        <v>106</v>
      </c>
      <c r="C40" t="s">
        <v>25</v>
      </c>
      <c r="D40">
        <v>1</v>
      </c>
    </row>
    <row r="41" spans="1:4" x14ac:dyDescent="0.25">
      <c r="A41">
        <v>59</v>
      </c>
      <c r="B41" t="s">
        <v>107</v>
      </c>
      <c r="C41" t="s">
        <v>26</v>
      </c>
      <c r="D41">
        <v>1</v>
      </c>
    </row>
    <row r="42" spans="1:4" x14ac:dyDescent="0.25">
      <c r="A42">
        <v>60</v>
      </c>
      <c r="B42" t="s">
        <v>108</v>
      </c>
      <c r="C42" t="s">
        <v>27</v>
      </c>
      <c r="D42">
        <v>1</v>
      </c>
    </row>
    <row r="43" spans="1:4" x14ac:dyDescent="0.25">
      <c r="A43">
        <v>61</v>
      </c>
      <c r="B43" t="s">
        <v>109</v>
      </c>
      <c r="C43" t="s">
        <v>28</v>
      </c>
      <c r="D43">
        <v>1</v>
      </c>
    </row>
    <row r="44" spans="1:4" x14ac:dyDescent="0.25">
      <c r="A44">
        <v>62</v>
      </c>
      <c r="B44" t="s">
        <v>110</v>
      </c>
      <c r="C44" t="s">
        <v>29</v>
      </c>
      <c r="D44">
        <v>1</v>
      </c>
    </row>
    <row r="45" spans="1:4" x14ac:dyDescent="0.25">
      <c r="A45">
        <v>63</v>
      </c>
      <c r="B45" t="s">
        <v>111</v>
      </c>
      <c r="C45" t="s">
        <v>30</v>
      </c>
      <c r="D45">
        <v>1</v>
      </c>
    </row>
    <row r="46" spans="1:4" x14ac:dyDescent="0.25">
      <c r="A46">
        <v>65</v>
      </c>
      <c r="B46" t="s">
        <v>112</v>
      </c>
      <c r="C46" t="s">
        <v>31</v>
      </c>
      <c r="D46">
        <v>1</v>
      </c>
    </row>
    <row r="47" spans="1:4" x14ac:dyDescent="0.25">
      <c r="A47">
        <v>68</v>
      </c>
      <c r="B47" t="s">
        <v>113</v>
      </c>
      <c r="C47" t="s">
        <v>32</v>
      </c>
      <c r="D47">
        <v>1</v>
      </c>
    </row>
    <row r="48" spans="1:4" x14ac:dyDescent="0.25">
      <c r="A48">
        <v>72</v>
      </c>
      <c r="B48" t="s">
        <v>114</v>
      </c>
      <c r="C48" t="s">
        <v>115</v>
      </c>
      <c r="D48" t="s">
        <v>116</v>
      </c>
    </row>
  </sheetData>
  <autoFilter ref="A1:D48" xr:uid="{34954D40-3C32-431F-87CB-EFFE187DB9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2025-12-05T22:15:23Z</dcterms:modified>
</cp:coreProperties>
</file>